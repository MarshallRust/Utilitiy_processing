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750" yWindow="-2355" windowWidth="31755" windowHeight="21705" tabRatio="600" firstSheet="0" activeTab="8" autoFilterDateGrouping="1"/>
  </bookViews>
  <sheets>
    <sheet name="230 W 100 N" sheetId="1" state="visible" r:id="rId1"/>
    <sheet name="597 N 600 E" sheetId="2" state="visible" r:id="rId2"/>
    <sheet name="642 E 700 N" sheetId="3" state="visible" r:id="rId3"/>
    <sheet name="340 E 300 N" sheetId="4" state="visible" r:id="rId4"/>
    <sheet name="420 N 400 E" sheetId="5" state="visible" r:id="rId5"/>
    <sheet name="320 E 400 N" sheetId="6" state="visible" r:id="rId6"/>
    <sheet name="61 W 500 N" sheetId="7" state="visible" r:id="rId7"/>
    <sheet name="124 N 200 W" sheetId="8" state="visible" r:id="rId8"/>
    <sheet name="438 E 100 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4" fontId="1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164" fontId="0" fillId="0" borderId="0" pivotButton="0" quotePrefix="0" xfId="1"/>
    <xf numFmtId="164" fontId="0" fillId="0" borderId="0" pivotButton="0" quotePrefix="0" xfId="1"/>
  </cellXfs>
  <cellStyles count="2">
    <cellStyle name="Normal" xfId="0" builtinId="0"/>
    <cellStyle name="Currency" xfId="1" builtinId="4"/>
  </cellStyles>
  <dxfs count="84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e3" displayName="Table3" ref="B3:N9" headerRowCount="1" totalsRowShown="0">
  <autoFilter ref="B3:N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 "/>
    <tableColumn id="3" name="Jan" dataCellStyle="Currency"/>
    <tableColumn id="4" name="Feb" dataCellStyle="Currency"/>
    <tableColumn id="5" name="Mar" dataCellStyle="Currency"/>
    <tableColumn id="6" name="Apr" dataCellStyle="Currency"/>
    <tableColumn id="7" name="May" dataCellStyle="Currency"/>
    <tableColumn id="8" name="Jun" dataCellStyle="Currency"/>
    <tableColumn id="9" name="Jul" dataCellStyle="Currency"/>
    <tableColumn id="10" name="Aug" dataCellStyle="Currency"/>
    <tableColumn id="11" name="Sep" dataCellStyle="Currency"/>
    <tableColumn id="12" name="Oct" dataCellStyle="Currency"/>
    <tableColumn id="13" name="Nov" dataCellStyle="Currency"/>
    <tableColumn id="14" name="Dec" dataCellStyle="Currency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Table35" displayName="Table35" ref="B12:N18" headerRowCount="1" totalsRowShown="0">
  <autoFilter ref="B12:N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 "/>
    <tableColumn id="3" name="Jan" dataCellStyle="Currency"/>
    <tableColumn id="4" name="Feb" dataCellStyle="Currency"/>
    <tableColumn id="5" name="Mar" dataCellStyle="Currency"/>
    <tableColumn id="6" name="Apr" dataCellStyle="Currency"/>
    <tableColumn id="7" name="May" dataCellStyle="Currency"/>
    <tableColumn id="8" name="Jun" dataCellStyle="Currency"/>
    <tableColumn id="9" name="Jul" dataCellStyle="Currency"/>
    <tableColumn id="10" name="Aug" dataCellStyle="Currency"/>
    <tableColumn id="11" name="Sep" dataCellStyle="Currency"/>
    <tableColumn id="12" name="Oct" dataCellStyle="Currency"/>
    <tableColumn id="13" name="Nov" dataCellStyle="Currency"/>
    <tableColumn id="14" name="Dec" dataCellStyle="Currency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Table36" displayName="Table36" ref="B3:N11" headerRowCount="1" totalsRowShown="0" headerRowDxfId="70" dataDxfId="71" headerRowCellStyle="Currency" dataCellStyle="Currency">
  <autoFilter ref="B3:N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 "/>
    <tableColumn id="3" name="Jan" dataDxfId="83" dataCellStyle="Currency"/>
    <tableColumn id="4" name="Feb" dataDxfId="82" dataCellStyle="Currency"/>
    <tableColumn id="5" name="Mar" dataDxfId="81" dataCellStyle="Currency"/>
    <tableColumn id="6" name="Apr" dataDxfId="80" dataCellStyle="Currency"/>
    <tableColumn id="7" name="May" dataDxfId="79" dataCellStyle="Currency"/>
    <tableColumn id="8" name="Jun" dataDxfId="78" dataCellStyle="Currency"/>
    <tableColumn id="9" name="Jul" dataDxfId="77" dataCellStyle="Currency"/>
    <tableColumn id="10" name="Aug" dataDxfId="76" dataCellStyle="Currency"/>
    <tableColumn id="11" name="Sep" dataDxfId="75" dataCellStyle="Currency"/>
    <tableColumn id="12" name="Oct" dataDxfId="74" dataCellStyle="Currency"/>
    <tableColumn id="13" name="Nov" dataDxfId="73" dataCellStyle="Currency"/>
    <tableColumn id="14" name="Dec" dataDxfId="72" dataCellStyle="Currency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Table367" displayName="Table367" ref="B3:N11" headerRowCount="1" totalsRowShown="0" headerRowDxfId="69" dataDxfId="68" headerRowCellStyle="Currency" dataCellStyle="Currency">
  <autoFilter ref="B3:N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 "/>
    <tableColumn id="3" name="Jan" dataDxfId="67" dataCellStyle="Currency"/>
    <tableColumn id="4" name="Feb" dataDxfId="66" dataCellStyle="Currency"/>
    <tableColumn id="5" name="Mar" dataDxfId="65" dataCellStyle="Currency"/>
    <tableColumn id="6" name="Apr" dataDxfId="64" dataCellStyle="Currency"/>
    <tableColumn id="7" name="May" dataDxfId="63" dataCellStyle="Currency"/>
    <tableColumn id="8" name="Jun" dataDxfId="62" dataCellStyle="Currency"/>
    <tableColumn id="9" name="Jul" dataDxfId="61" dataCellStyle="Currency"/>
    <tableColumn id="10" name="Aug" dataDxfId="60" dataCellStyle="Currency"/>
    <tableColumn id="11" name="Sep" dataDxfId="59" dataCellStyle="Currency"/>
    <tableColumn id="12" name="Oct" dataDxfId="58" dataCellStyle="Currency"/>
    <tableColumn id="13" name="Nov" dataDxfId="57" dataCellStyle="Currency"/>
    <tableColumn id="14" name="Dec" dataDxfId="56" dataCellStyle="Currency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Table38" displayName="Table38" ref="B3:N9" headerRowCount="1" totalsRowShown="0">
  <autoFilter ref="B3:N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 "/>
    <tableColumn id="3" name="Jan" dataCellStyle="Currency"/>
    <tableColumn id="4" name="Feb" dataCellStyle="Currency"/>
    <tableColumn id="5" name="Mar" dataCellStyle="Currency"/>
    <tableColumn id="6" name="Apr" dataCellStyle="Currency"/>
    <tableColumn id="7" name="May" dataCellStyle="Currency"/>
    <tableColumn id="8" name="Jun" dataCellStyle="Currency"/>
    <tableColumn id="9" name="Jul" dataCellStyle="Currency"/>
    <tableColumn id="10" name="Aug" dataCellStyle="Currency"/>
    <tableColumn id="11" name="Sep" dataCellStyle="Currency"/>
    <tableColumn id="12" name="Oct" dataCellStyle="Currency"/>
    <tableColumn id="13" name="Nov" dataCellStyle="Currency"/>
    <tableColumn id="14" name="Dec" dataCellStyle="Currency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id="6" name="Table359" displayName="Table359" ref="B12:N18" headerRowCount="1" totalsRowShown="0">
  <autoFilter ref="B12:N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 "/>
    <tableColumn id="3" name="Jan" dataCellStyle="Currency"/>
    <tableColumn id="4" name="Feb" dataCellStyle="Currency"/>
    <tableColumn id="5" name="Mar" dataCellStyle="Currency"/>
    <tableColumn id="6" name="Apr" dataCellStyle="Currency"/>
    <tableColumn id="7" name="May" dataCellStyle="Currency"/>
    <tableColumn id="8" name="Jun" dataCellStyle="Currency"/>
    <tableColumn id="9" name="Jul" dataCellStyle="Currency"/>
    <tableColumn id="10" name="Aug" dataCellStyle="Currency"/>
    <tableColumn id="11" name="Sep" dataCellStyle="Currency"/>
    <tableColumn id="12" name="Oct" dataCellStyle="Currency"/>
    <tableColumn id="13" name="Nov" dataCellStyle="Currency"/>
    <tableColumn id="14" name="Dec" dataCellStyle="Currency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id="7" name="Table36710" displayName="Table36710" ref="B3:N9" headerRowCount="1" totalsRowShown="0" headerRowDxfId="55" dataDxfId="54" headerRowCellStyle="Currency" dataCellStyle="Currency">
  <autoFilter ref="B3:N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 "/>
    <tableColumn id="3" name="Jan" dataDxfId="53" dataCellStyle="Currency"/>
    <tableColumn id="4" name="Feb" dataDxfId="52" dataCellStyle="Currency"/>
    <tableColumn id="5" name="Mar" dataDxfId="51" dataCellStyle="Currency"/>
    <tableColumn id="6" name="Apr" dataDxfId="50" dataCellStyle="Currency"/>
    <tableColumn id="7" name="May" dataDxfId="49" dataCellStyle="Currency"/>
    <tableColumn id="8" name="Jun" dataDxfId="48" dataCellStyle="Currency"/>
    <tableColumn id="9" name="Jul" dataDxfId="47" dataCellStyle="Currency"/>
    <tableColumn id="10" name="Aug" dataDxfId="46" dataCellStyle="Currency"/>
    <tableColumn id="11" name="Sep" dataDxfId="45" dataCellStyle="Currency"/>
    <tableColumn id="12" name="Oct" dataDxfId="44" dataCellStyle="Currency"/>
    <tableColumn id="13" name="Nov" dataDxfId="43" dataCellStyle="Currency"/>
    <tableColumn id="14" name="Dec" dataDxfId="42" dataCellStyle="Currency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id="8" name="Table3611" displayName="Table3611" ref="B3:N9" headerRowCount="1" totalsRowShown="0" headerRowDxfId="41" dataDxfId="40" headerRowCellStyle="Currency" dataCellStyle="Currency">
  <autoFilter ref="B3:N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 "/>
    <tableColumn id="3" name="Jan" dataDxfId="39" dataCellStyle="Currency"/>
    <tableColumn id="4" name="Feb" dataDxfId="38" dataCellStyle="Currency"/>
    <tableColumn id="5" name="Mar" dataDxfId="37" dataCellStyle="Currency"/>
    <tableColumn id="6" name="Apr" dataDxfId="36" dataCellStyle="Currency"/>
    <tableColumn id="7" name="May" dataDxfId="35" dataCellStyle="Currency"/>
    <tableColumn id="8" name="Jun" dataDxfId="34" dataCellStyle="Currency"/>
    <tableColumn id="9" name="Jul" dataDxfId="33" dataCellStyle="Currency"/>
    <tableColumn id="10" name="Aug" dataDxfId="32" dataCellStyle="Currency"/>
    <tableColumn id="11" name="Sep" dataDxfId="31" dataCellStyle="Currency"/>
    <tableColumn id="12" name="Oct" dataDxfId="30" dataCellStyle="Currency"/>
    <tableColumn id="13" name="Nov" dataDxfId="29" dataCellStyle="Currency"/>
    <tableColumn id="14" name="Dec" dataDxfId="28" dataCellStyle="Currency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id="9" name="Table312" displayName="Table312" ref="B3:N9" headerRowCount="1" totalsRowShown="0">
  <autoFilter ref="B3:N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 "/>
    <tableColumn id="3" name="Jan" dataCellStyle="Currency"/>
    <tableColumn id="4" name="Feb" dataCellStyle="Currency"/>
    <tableColumn id="5" name="Mar" dataCellStyle="Currency"/>
    <tableColumn id="6" name="Apr" dataCellStyle="Currency"/>
    <tableColumn id="7" name="May" dataCellStyle="Currency"/>
    <tableColumn id="8" name="Jun" dataCellStyle="Currency"/>
    <tableColumn id="9" name="Jul" dataCellStyle="Currency"/>
    <tableColumn id="10" name="Aug" dataCellStyle="Currency"/>
    <tableColumn id="11" name="Sep" dataCellStyle="Currency"/>
    <tableColumn id="12" name="Oct" dataCellStyle="Currency"/>
    <tableColumn id="13" name="Nov" dataCellStyle="Currency"/>
    <tableColumn id="14" name="Dec" dataCellStyle="Currency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id="10" name="Table3513" displayName="Table3513" ref="B12:N18" headerRowCount="1" totalsRowShown="0">
  <autoFilter ref="B12:N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 "/>
    <tableColumn id="3" name="Jan" dataCellStyle="Currency"/>
    <tableColumn id="4" name="Feb" dataCellStyle="Currency"/>
    <tableColumn id="5" name="Mar" dataCellStyle="Currency"/>
    <tableColumn id="6" name="Apr" dataCellStyle="Currency"/>
    <tableColumn id="7" name="May" dataCellStyle="Currency"/>
    <tableColumn id="8" name="Jun" dataCellStyle="Currency"/>
    <tableColumn id="9" name="Jul" dataCellStyle="Currency"/>
    <tableColumn id="10" name="Aug" dataCellStyle="Currency"/>
    <tableColumn id="11" name="Sep" dataCellStyle="Currency"/>
    <tableColumn id="12" name="Oct" dataCellStyle="Currency"/>
    <tableColumn id="13" name="Nov" dataCellStyle="Currency"/>
    <tableColumn id="14" name="Dec" dataCellStyle="Currency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id="11" name="Table361114" displayName="Table361114" ref="B3:N9" headerRowCount="1" totalsRowShown="0" headerRowDxfId="27" dataDxfId="26" headerRowCellStyle="Currency" dataCellStyle="Currency">
  <autoFilter ref="B3:N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 "/>
    <tableColumn id="3" name="Jan" dataDxfId="25" dataCellStyle="Currency"/>
    <tableColumn id="4" name="Feb" dataDxfId="24" dataCellStyle="Currency"/>
    <tableColumn id="5" name="Mar" dataDxfId="23" dataCellStyle="Currency"/>
    <tableColumn id="6" name="Apr" dataDxfId="22" dataCellStyle="Currency"/>
    <tableColumn id="7" name="May" dataDxfId="21" dataCellStyle="Currency"/>
    <tableColumn id="8" name="Jun" dataDxfId="20" dataCellStyle="Currency"/>
    <tableColumn id="9" name="Jul" dataDxfId="19" dataCellStyle="Currency"/>
    <tableColumn id="10" name="Aug" dataDxfId="18" dataCellStyle="Currency"/>
    <tableColumn id="11" name="Sep" dataDxfId="17" dataCellStyle="Currency"/>
    <tableColumn id="12" name="Oct" dataDxfId="16" dataCellStyle="Currency"/>
    <tableColumn id="13" name="Nov" dataDxfId="15" dataCellStyle="Currency"/>
    <tableColumn id="14" name="Dec" dataDxfId="14" dataCellStyle="Currency"/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id="12" name="Table36111415" displayName="Table36111415" ref="B3:N9" headerRowCount="1" totalsRowShown="0" headerRowDxfId="13" dataDxfId="12" headerRowCellStyle="Currency" dataCellStyle="Currency">
  <autoFilter ref="B3:N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 "/>
    <tableColumn id="3" name="Jan" dataDxfId="11" dataCellStyle="Currency"/>
    <tableColumn id="4" name="Feb" dataDxfId="10" dataCellStyle="Currency"/>
    <tableColumn id="5" name="Mar" dataDxfId="9" dataCellStyle="Currency"/>
    <tableColumn id="6" name="Apr" dataDxfId="8" dataCellStyle="Currency"/>
    <tableColumn id="7" name="May" dataDxfId="7" dataCellStyle="Currency"/>
    <tableColumn id="8" name="Jun" dataDxfId="6" dataCellStyle="Currency"/>
    <tableColumn id="9" name="Jul" dataDxfId="5" dataCellStyle="Currency"/>
    <tableColumn id="10" name="Aug" dataDxfId="4" dataCellStyle="Currency"/>
    <tableColumn id="11" name="Sep" dataDxfId="3" dataCellStyle="Currency"/>
    <tableColumn id="12" name="Oct" dataDxfId="2" dataCellStyle="Currency"/>
    <tableColumn id="13" name="Nov" dataDxfId="1" dataCellStyle="Currency"/>
    <tableColumn id="14" name="Dec" dataDxfId="0" dataCellStyle="Currenc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B55" sqref="B55"/>
    </sheetView>
  </sheetViews>
  <sheetFormatPr baseColWidth="8" defaultRowHeight="14.5"/>
  <cols>
    <col width="15.7265625" customWidth="1" min="1" max="1"/>
    <col width="19.6328125" customWidth="1" min="2" max="2"/>
    <col width="10.36328125" customWidth="1" style="4" min="3" max="3"/>
    <col width="8.7265625" customWidth="1" style="4" min="4" max="14"/>
  </cols>
  <sheetData>
    <row r="1">
      <c r="A1" t="inlineStr">
        <is>
          <t>230 W 100 N</t>
        </is>
      </c>
    </row>
    <row r="2">
      <c r="A2" t="inlineStr">
        <is>
          <t>Account Number:</t>
        </is>
      </c>
    </row>
    <row r="3">
      <c r="B3" t="inlineStr">
        <is>
          <t xml:space="preserve"> </t>
        </is>
      </c>
      <c r="C3" s="4" t="inlineStr">
        <is>
          <t>Jan</t>
        </is>
      </c>
      <c r="D3" s="4" t="inlineStr">
        <is>
          <t>Feb</t>
        </is>
      </c>
      <c r="E3" s="4" t="inlineStr">
        <is>
          <t>Mar</t>
        </is>
      </c>
      <c r="F3" s="4" t="inlineStr">
        <is>
          <t>Apr</t>
        </is>
      </c>
      <c r="G3" s="4" t="inlineStr">
        <is>
          <t>May</t>
        </is>
      </c>
      <c r="H3" s="4" t="inlineStr">
        <is>
          <t>Jun</t>
        </is>
      </c>
      <c r="I3" s="4" t="inlineStr">
        <is>
          <t>Jul</t>
        </is>
      </c>
      <c r="J3" s="4" t="inlineStr">
        <is>
          <t>Aug</t>
        </is>
      </c>
      <c r="K3" s="4" t="inlineStr">
        <is>
          <t>Sep</t>
        </is>
      </c>
      <c r="L3" s="4" t="inlineStr">
        <is>
          <t>Oct</t>
        </is>
      </c>
      <c r="M3" s="4" t="inlineStr">
        <is>
          <t>Nov</t>
        </is>
      </c>
      <c r="N3" s="4" t="inlineStr">
        <is>
          <t>Dec</t>
        </is>
      </c>
    </row>
    <row r="4">
      <c r="A4" s="2" t="inlineStr">
        <is>
          <t>Enbridge</t>
        </is>
      </c>
      <c r="B4" t="inlineStr">
        <is>
          <t>Total Bill</t>
        </is>
      </c>
      <c r="C4" s="4" t="n">
        <v>202.84</v>
      </c>
      <c r="D4" s="4" t="n">
        <v>166.12</v>
      </c>
      <c r="E4" s="4" t="n">
        <v>157.59</v>
      </c>
      <c r="F4" s="4" t="n">
        <v>72.72</v>
      </c>
      <c r="G4" s="4" t="n">
        <v>100.64</v>
      </c>
      <c r="H4" s="4" t="n">
        <v>15.37</v>
      </c>
      <c r="J4" s="4" t="n">
        <v>16.81</v>
      </c>
    </row>
    <row r="5">
      <c r="B5" t="inlineStr">
        <is>
          <t>Bill Date</t>
        </is>
      </c>
    </row>
    <row r="6">
      <c r="B6" t="inlineStr">
        <is>
          <t>Service Dates</t>
        </is>
      </c>
    </row>
    <row r="7">
      <c r="B7" t="inlineStr">
        <is>
          <t>Due Date</t>
        </is>
      </c>
    </row>
    <row r="8">
      <c r="B8" t="inlineStr">
        <is>
          <t>Main = 50%</t>
        </is>
      </c>
      <c r="C8" s="4">
        <f>C4*0.5</f>
        <v/>
      </c>
      <c r="D8" s="4">
        <f>D4*0.5</f>
        <v/>
      </c>
      <c r="E8" s="4">
        <f>E4*0.5</f>
        <v/>
      </c>
      <c r="F8" s="4">
        <f>F4*0.5</f>
        <v/>
      </c>
      <c r="G8" s="4">
        <f>G4*0.5</f>
        <v/>
      </c>
      <c r="H8" s="4">
        <f>H4*0.5</f>
        <v/>
      </c>
      <c r="I8" s="4">
        <f>I4*0.5</f>
        <v/>
      </c>
      <c r="J8" s="4">
        <f>J4*0.5</f>
        <v/>
      </c>
      <c r="K8" s="4">
        <f>K4*0.5</f>
        <v/>
      </c>
      <c r="L8" s="4">
        <f>L4*0.5</f>
        <v/>
      </c>
      <c r="M8" s="4">
        <f>M4*0.5</f>
        <v/>
      </c>
      <c r="N8" s="4">
        <f>N4*0.5</f>
        <v/>
      </c>
    </row>
    <row r="9">
      <c r="B9" t="inlineStr">
        <is>
          <t>Up = 50%</t>
        </is>
      </c>
      <c r="C9" s="4">
        <f>C4*0.5</f>
        <v/>
      </c>
      <c r="D9" s="4">
        <f>D4*0.5</f>
        <v/>
      </c>
      <c r="E9" s="4">
        <f>E4*0.5</f>
        <v/>
      </c>
      <c r="F9" s="4">
        <f>F4*0.5</f>
        <v/>
      </c>
      <c r="G9" s="4">
        <f>G4*0.5</f>
        <v/>
      </c>
      <c r="H9" s="4">
        <f>H4*0.5</f>
        <v/>
      </c>
      <c r="I9" s="4">
        <f>I4*0.5</f>
        <v/>
      </c>
      <c r="J9" s="4">
        <f>J4*0.5</f>
        <v/>
      </c>
      <c r="K9" s="4">
        <f>K4*0.5</f>
        <v/>
      </c>
      <c r="L9" s="4">
        <f>L4*0.5</f>
        <v/>
      </c>
      <c r="M9" s="4">
        <f>M4*0.5</f>
        <v/>
      </c>
      <c r="N9" s="4">
        <f>N4*0.5</f>
        <v/>
      </c>
    </row>
    <row r="11">
      <c r="A11" t="inlineStr">
        <is>
          <t>Account Number:</t>
        </is>
      </c>
    </row>
    <row r="12">
      <c r="B12" t="inlineStr">
        <is>
          <t xml:space="preserve"> </t>
        </is>
      </c>
      <c r="C12" s="4" t="inlineStr">
        <is>
          <t>Jan</t>
        </is>
      </c>
      <c r="D12" s="4" t="inlineStr">
        <is>
          <t>Feb</t>
        </is>
      </c>
      <c r="E12" s="4" t="inlineStr">
        <is>
          <t>Mar</t>
        </is>
      </c>
      <c r="F12" s="4" t="inlineStr">
        <is>
          <t>Apr</t>
        </is>
      </c>
      <c r="G12" s="4" t="inlineStr">
        <is>
          <t>May</t>
        </is>
      </c>
      <c r="H12" s="4" t="inlineStr">
        <is>
          <t>Jun</t>
        </is>
      </c>
      <c r="I12" s="4" t="inlineStr">
        <is>
          <t>Jul</t>
        </is>
      </c>
      <c r="J12" s="4" t="inlineStr">
        <is>
          <t>Aug</t>
        </is>
      </c>
      <c r="K12" s="4" t="inlineStr">
        <is>
          <t>Sep</t>
        </is>
      </c>
      <c r="L12" s="4" t="inlineStr">
        <is>
          <t>Oct</t>
        </is>
      </c>
      <c r="M12" s="4" t="inlineStr">
        <is>
          <t>Nov</t>
        </is>
      </c>
      <c r="N12" s="4" t="inlineStr">
        <is>
          <t>Dec</t>
        </is>
      </c>
    </row>
    <row r="13">
      <c r="A13" s="2" t="inlineStr">
        <is>
          <t>Logan City</t>
        </is>
      </c>
      <c r="B13" t="inlineStr">
        <is>
          <t>Total Bill</t>
        </is>
      </c>
      <c r="C13" s="4" t="n">
        <v>304.79</v>
      </c>
      <c r="D13" s="4" t="n">
        <v>307.12</v>
      </c>
      <c r="E13" s="4" t="n">
        <v>294.02</v>
      </c>
      <c r="F13" s="4" t="n">
        <v>289.76</v>
      </c>
      <c r="J13" s="4" t="n">
        <v>381.23</v>
      </c>
      <c r="K13" s="4" t="n">
        <v>349.48</v>
      </c>
    </row>
    <row r="14">
      <c r="B14" t="inlineStr">
        <is>
          <t>Bill Date</t>
        </is>
      </c>
    </row>
    <row r="15">
      <c r="B15" t="inlineStr">
        <is>
          <t>Service Dates</t>
        </is>
      </c>
    </row>
    <row r="16">
      <c r="B16" t="inlineStr">
        <is>
          <t>Due Date</t>
        </is>
      </c>
    </row>
    <row r="17">
      <c r="B17" t="inlineStr">
        <is>
          <t>Main = 50%</t>
        </is>
      </c>
      <c r="C17" s="4">
        <f>C13*0.5</f>
        <v/>
      </c>
      <c r="D17" s="4">
        <f>D13*0.5</f>
        <v/>
      </c>
      <c r="E17" s="4">
        <f>E13*0.5</f>
        <v/>
      </c>
      <c r="F17" s="4">
        <f>F13*0.5</f>
        <v/>
      </c>
      <c r="G17" s="4">
        <f>G13*0.5</f>
        <v/>
      </c>
      <c r="H17" s="4">
        <f>H13*0.5</f>
        <v/>
      </c>
      <c r="I17" s="4">
        <f>I13*0.5</f>
        <v/>
      </c>
      <c r="J17" s="4">
        <f>J13*0.5</f>
        <v/>
      </c>
      <c r="K17" s="4">
        <f>K13*0.5</f>
        <v/>
      </c>
      <c r="L17" s="4">
        <f>L13*0.5</f>
        <v/>
      </c>
      <c r="M17" s="4">
        <f>M13*0.5</f>
        <v/>
      </c>
      <c r="N17" s="4">
        <f>N13*0.5</f>
        <v/>
      </c>
    </row>
    <row r="18">
      <c r="B18" t="inlineStr">
        <is>
          <t>Up = 50%</t>
        </is>
      </c>
      <c r="C18" s="4">
        <f>C13*0.5</f>
        <v/>
      </c>
      <c r="D18" s="4">
        <f>D13*0.5</f>
        <v/>
      </c>
      <c r="E18" s="4">
        <f>E13*0.5</f>
        <v/>
      </c>
      <c r="F18" s="4">
        <f>F13*0.5</f>
        <v/>
      </c>
      <c r="G18" s="4">
        <f>G13*0.5</f>
        <v/>
      </c>
      <c r="H18" s="4">
        <f>H13*0.5</f>
        <v/>
      </c>
      <c r="I18" s="4">
        <f>I13*0.5</f>
        <v/>
      </c>
      <c r="J18" s="4">
        <f>J13*0.5</f>
        <v/>
      </c>
      <c r="K18" s="4">
        <f>K13*0.5</f>
        <v/>
      </c>
      <c r="L18" s="4">
        <f>L13*0.5</f>
        <v/>
      </c>
      <c r="M18" s="4">
        <f>M13*0.5</f>
        <v/>
      </c>
      <c r="N18" s="4">
        <f>N13*0.5</f>
        <v/>
      </c>
    </row>
  </sheetData>
  <pageMargins left="0.7" right="0.7" top="0.75" bottom="0.75" header="0.3" footer="0.3"/>
  <pageSetup orientation="portrait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B55" sqref="B55"/>
    </sheetView>
  </sheetViews>
  <sheetFormatPr baseColWidth="8" defaultRowHeight="14.5"/>
  <cols>
    <col width="15.7265625" customWidth="1" min="1" max="1"/>
    <col width="19.6328125" customWidth="1" min="2" max="2"/>
    <col width="10.36328125" customWidth="1" style="4" min="3" max="3"/>
    <col width="8.7265625" customWidth="1" style="4" min="4" max="14"/>
  </cols>
  <sheetData>
    <row r="1">
      <c r="A1" t="inlineStr">
        <is>
          <t>597 N 600 E</t>
        </is>
      </c>
    </row>
    <row r="2">
      <c r="A2" t="inlineStr">
        <is>
          <t>Account Number:</t>
        </is>
      </c>
    </row>
    <row r="3">
      <c r="B3" t="inlineStr">
        <is>
          <t xml:space="preserve"> </t>
        </is>
      </c>
      <c r="C3" s="4" t="inlineStr">
        <is>
          <t>Jan</t>
        </is>
      </c>
      <c r="D3" s="4" t="inlineStr">
        <is>
          <t>Feb</t>
        </is>
      </c>
      <c r="E3" s="4" t="inlineStr">
        <is>
          <t>Mar</t>
        </is>
      </c>
      <c r="F3" s="4" t="inlineStr">
        <is>
          <t>Apr</t>
        </is>
      </c>
      <c r="G3" s="4" t="inlineStr">
        <is>
          <t>May</t>
        </is>
      </c>
      <c r="H3" s="4" t="inlineStr">
        <is>
          <t>Jun</t>
        </is>
      </c>
      <c r="I3" s="4" t="inlineStr">
        <is>
          <t>Jul</t>
        </is>
      </c>
      <c r="J3" s="4" t="inlineStr">
        <is>
          <t>Aug</t>
        </is>
      </c>
      <c r="K3" s="4" t="inlineStr">
        <is>
          <t>Sep</t>
        </is>
      </c>
      <c r="L3" s="4" t="inlineStr">
        <is>
          <t>Oct</t>
        </is>
      </c>
      <c r="M3" s="4" t="inlineStr">
        <is>
          <t>Nov</t>
        </is>
      </c>
      <c r="N3" s="4" t="inlineStr">
        <is>
          <t>Dec</t>
        </is>
      </c>
    </row>
    <row r="4">
      <c r="A4" s="2" t="inlineStr">
        <is>
          <t>Enbridge</t>
        </is>
      </c>
      <c r="B4" t="inlineStr">
        <is>
          <t>Total Bill</t>
        </is>
      </c>
      <c r="C4" s="4" t="n">
        <v>366.39</v>
      </c>
      <c r="D4" s="4" t="n">
        <v>302.83</v>
      </c>
      <c r="E4" s="4" t="n">
        <v>206.91</v>
      </c>
      <c r="F4" s="4" t="n">
        <v>128.63</v>
      </c>
      <c r="G4" s="4" t="n">
        <v>43.82</v>
      </c>
      <c r="J4" s="4" t="n">
        <v>51.55</v>
      </c>
      <c r="K4" s="4" t="n">
        <v>57.86</v>
      </c>
    </row>
    <row r="5">
      <c r="B5" t="inlineStr">
        <is>
          <t>Bill Date</t>
        </is>
      </c>
    </row>
    <row r="6">
      <c r="B6" t="inlineStr">
        <is>
          <t>Service Dates</t>
        </is>
      </c>
    </row>
    <row r="7">
      <c r="B7" t="inlineStr">
        <is>
          <t>Due Date</t>
        </is>
      </c>
    </row>
    <row r="8">
      <c r="B8" t="inlineStr">
        <is>
          <t>#1 = 40%</t>
        </is>
      </c>
      <c r="C8" s="4">
        <f>C4*0.4</f>
        <v/>
      </c>
      <c r="D8" s="4">
        <f>D4*0.4</f>
        <v/>
      </c>
      <c r="E8" s="4">
        <f>E4*0.4</f>
        <v/>
      </c>
      <c r="F8" s="4">
        <f>F4*0.4</f>
        <v/>
      </c>
      <c r="G8" s="4">
        <f>G4*0.4</f>
        <v/>
      </c>
      <c r="H8" s="4">
        <f>H4*0.4</f>
        <v/>
      </c>
      <c r="I8" s="4">
        <f>I4*0.4</f>
        <v/>
      </c>
      <c r="J8" s="4">
        <f>J4*0.4</f>
        <v/>
      </c>
      <c r="K8" s="4">
        <f>K4*0.4</f>
        <v/>
      </c>
      <c r="L8" s="4">
        <f>L4*0.4</f>
        <v/>
      </c>
      <c r="M8" s="4">
        <f>M4*0.4</f>
        <v/>
      </c>
      <c r="N8" s="4">
        <f>N4*0.4</f>
        <v/>
      </c>
    </row>
    <row r="9">
      <c r="B9" t="inlineStr">
        <is>
          <t>#2 = 15%</t>
        </is>
      </c>
      <c r="C9" s="4">
        <f>C$4*0.15</f>
        <v/>
      </c>
      <c r="D9" s="4">
        <f>D$4*0.15</f>
        <v/>
      </c>
      <c r="E9" s="4">
        <f>E$4*0.15</f>
        <v/>
      </c>
      <c r="F9" s="4">
        <f>F$4*0.15</f>
        <v/>
      </c>
      <c r="G9" s="4">
        <f>G$4*0.15</f>
        <v/>
      </c>
      <c r="H9" s="4">
        <f>H$4*0.15</f>
        <v/>
      </c>
      <c r="I9" s="4">
        <f>I$4*0.15</f>
        <v/>
      </c>
      <c r="J9" s="4">
        <f>J$4*0.15</f>
        <v/>
      </c>
      <c r="K9" s="4">
        <f>K$4*0.15</f>
        <v/>
      </c>
      <c r="L9" s="4">
        <f>L$4*0.15</f>
        <v/>
      </c>
      <c r="M9" s="4">
        <f>M$4*0.15</f>
        <v/>
      </c>
      <c r="N9" s="4">
        <f>N$4*0.15</f>
        <v/>
      </c>
    </row>
    <row r="10">
      <c r="B10" t="inlineStr">
        <is>
          <t>#3 = 30%</t>
        </is>
      </c>
      <c r="C10" s="4">
        <f>C$4*0.3</f>
        <v/>
      </c>
      <c r="D10" s="4">
        <f>D$4*0.3</f>
        <v/>
      </c>
      <c r="E10" s="4">
        <f>E$4*0.3</f>
        <v/>
      </c>
      <c r="F10" s="4">
        <f>F$4*0.3</f>
        <v/>
      </c>
      <c r="G10" s="4">
        <f>G$4*0.3</f>
        <v/>
      </c>
      <c r="H10" s="4">
        <f>H$4*0.3</f>
        <v/>
      </c>
      <c r="I10" s="4">
        <f>I$4*0.3</f>
        <v/>
      </c>
      <c r="J10" s="4">
        <f>J$4*0.3</f>
        <v/>
      </c>
      <c r="K10" s="4">
        <f>K$4*0.3</f>
        <v/>
      </c>
      <c r="L10" s="4">
        <f>L$4*0.3</f>
        <v/>
      </c>
      <c r="M10" s="4">
        <f>M$4*0.3</f>
        <v/>
      </c>
      <c r="N10" s="4">
        <f>N$4*0.3</f>
        <v/>
      </c>
    </row>
    <row r="11">
      <c r="B11" t="inlineStr">
        <is>
          <t>#4 = 15%</t>
        </is>
      </c>
      <c r="C11" s="4">
        <f>C$4*0.15</f>
        <v/>
      </c>
      <c r="D11" s="4">
        <f>D$4*0.15</f>
        <v/>
      </c>
      <c r="E11" s="4">
        <f>E$4*0.15</f>
        <v/>
      </c>
      <c r="F11" s="4">
        <f>F$4*0.15</f>
        <v/>
      </c>
      <c r="G11" s="4">
        <f>G$4*0.15</f>
        <v/>
      </c>
      <c r="H11" s="4">
        <f>H$4*0.15</f>
        <v/>
      </c>
      <c r="I11" s="4">
        <f>I$4*0.15</f>
        <v/>
      </c>
      <c r="J11" s="4">
        <f>J$4*0.15</f>
        <v/>
      </c>
      <c r="K11" s="4">
        <f>K$4*0.15</f>
        <v/>
      </c>
      <c r="L11" s="4">
        <f>L$4*0.15</f>
        <v/>
      </c>
      <c r="M11" s="4">
        <f>M$4*0.15</f>
        <v/>
      </c>
      <c r="N11" s="4">
        <f>N$4*0.15</f>
        <v/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B55" sqref="B55"/>
    </sheetView>
  </sheetViews>
  <sheetFormatPr baseColWidth="8" defaultRowHeight="14.5"/>
  <cols>
    <col width="15.7265625" customWidth="1" min="1" max="1"/>
    <col width="19.6328125" customWidth="1" min="2" max="2"/>
    <col width="10.36328125" customWidth="1" style="4" min="3" max="3"/>
    <col width="8.7265625" customWidth="1" style="4" min="4" max="14"/>
  </cols>
  <sheetData>
    <row r="1">
      <c r="A1" t="inlineStr">
        <is>
          <t>642 E 700 N</t>
        </is>
      </c>
    </row>
    <row r="2">
      <c r="A2" t="inlineStr">
        <is>
          <t>Account Number:</t>
        </is>
      </c>
    </row>
    <row r="3">
      <c r="B3" t="inlineStr">
        <is>
          <t xml:space="preserve"> </t>
        </is>
      </c>
      <c r="C3" s="4" t="inlineStr">
        <is>
          <t>Jan</t>
        </is>
      </c>
      <c r="D3" s="4" t="inlineStr">
        <is>
          <t>Feb</t>
        </is>
      </c>
      <c r="E3" s="4" t="inlineStr">
        <is>
          <t>Mar</t>
        </is>
      </c>
      <c r="F3" s="4" t="inlineStr">
        <is>
          <t>Apr</t>
        </is>
      </c>
      <c r="G3" s="4" t="inlineStr">
        <is>
          <t>May</t>
        </is>
      </c>
      <c r="H3" s="4" t="inlineStr">
        <is>
          <t>Jun</t>
        </is>
      </c>
      <c r="I3" s="4" t="inlineStr">
        <is>
          <t>Jul</t>
        </is>
      </c>
      <c r="J3" s="4" t="inlineStr">
        <is>
          <t>Aug</t>
        </is>
      </c>
      <c r="K3" s="4" t="inlineStr">
        <is>
          <t>Sep</t>
        </is>
      </c>
      <c r="L3" s="4" t="inlineStr">
        <is>
          <t>Oct</t>
        </is>
      </c>
      <c r="M3" s="4" t="inlineStr">
        <is>
          <t>Nov</t>
        </is>
      </c>
      <c r="N3" s="4" t="inlineStr">
        <is>
          <t>Dec</t>
        </is>
      </c>
    </row>
    <row r="4">
      <c r="A4" s="2" t="inlineStr">
        <is>
          <t>Enbridge</t>
        </is>
      </c>
      <c r="B4" t="inlineStr">
        <is>
          <t>Total Bill</t>
        </is>
      </c>
      <c r="C4" s="4" t="n">
        <v>209.38</v>
      </c>
      <c r="D4" s="4" t="n">
        <v>161.36</v>
      </c>
      <c r="E4" s="4" t="n">
        <v>126.41</v>
      </c>
      <c r="F4" s="4" t="n">
        <v>79.33</v>
      </c>
      <c r="G4" s="4" t="n">
        <v>24.57</v>
      </c>
      <c r="J4" s="4" t="n">
        <v>29.49</v>
      </c>
      <c r="K4" s="4" t="n">
        <v>29.23</v>
      </c>
    </row>
    <row r="5">
      <c r="B5" t="inlineStr">
        <is>
          <t>Bill Date</t>
        </is>
      </c>
    </row>
    <row r="6">
      <c r="B6" t="inlineStr">
        <is>
          <t>Service Dates</t>
        </is>
      </c>
    </row>
    <row r="7">
      <c r="B7" t="inlineStr">
        <is>
          <t>Due Date</t>
        </is>
      </c>
    </row>
    <row r="8">
      <c r="B8" t="inlineStr">
        <is>
          <t>1 - Attic = 20%</t>
        </is>
      </c>
      <c r="C8" s="4">
        <f>C4*0.2</f>
        <v/>
      </c>
      <c r="D8" s="4">
        <f>D4*0.2</f>
        <v/>
      </c>
      <c r="E8" s="4">
        <f>E4*0.2</f>
        <v/>
      </c>
      <c r="F8" s="4">
        <f>F4*0.2</f>
        <v/>
      </c>
      <c r="G8" s="4">
        <f>G4*0.2</f>
        <v/>
      </c>
      <c r="H8" s="4">
        <f>H4*0.2</f>
        <v/>
      </c>
      <c r="I8" s="4">
        <f>I4*0.2</f>
        <v/>
      </c>
      <c r="J8" s="4">
        <f>J4*0.2</f>
        <v/>
      </c>
      <c r="K8" s="4">
        <f>K4*0.2</f>
        <v/>
      </c>
      <c r="L8" s="4">
        <f>L4*0.2</f>
        <v/>
      </c>
      <c r="M8" s="4">
        <f>M4*0.2</f>
        <v/>
      </c>
      <c r="N8" s="4">
        <f>N4*0.2</f>
        <v/>
      </c>
    </row>
    <row r="9">
      <c r="B9" t="inlineStr">
        <is>
          <t>2 - East = 20%</t>
        </is>
      </c>
      <c r="C9" s="4">
        <f>C$4*0.2</f>
        <v/>
      </c>
      <c r="D9" s="4">
        <f>D$4*0.2</f>
        <v/>
      </c>
      <c r="E9" s="4">
        <f>E$4*0.2</f>
        <v/>
      </c>
      <c r="F9" s="4">
        <f>F$4*0.2</f>
        <v/>
      </c>
      <c r="G9" s="4">
        <f>G$4*0.2</f>
        <v/>
      </c>
      <c r="H9" s="4">
        <f>H$4*0.2</f>
        <v/>
      </c>
      <c r="I9" s="4">
        <f>I$4*0.2</f>
        <v/>
      </c>
      <c r="J9" s="4">
        <f>J$4*0.2</f>
        <v/>
      </c>
      <c r="K9" s="4">
        <f>K$4*0.2</f>
        <v/>
      </c>
      <c r="L9" s="4">
        <f>L$4*0.2</f>
        <v/>
      </c>
      <c r="M9" s="4">
        <f>M$4*0.2</f>
        <v/>
      </c>
      <c r="N9" s="4">
        <f>N$4*0.2</f>
        <v/>
      </c>
    </row>
    <row r="10">
      <c r="B10" t="inlineStr">
        <is>
          <t>3 - Studio = 20%</t>
        </is>
      </c>
      <c r="C10" s="4">
        <f>C$4*0.2</f>
        <v/>
      </c>
      <c r="D10" s="4">
        <f>D$4*0.2</f>
        <v/>
      </c>
      <c r="E10" s="4">
        <f>E$4*0.2</f>
        <v/>
      </c>
      <c r="F10" s="4">
        <f>F$4*0.2</f>
        <v/>
      </c>
      <c r="G10" s="4">
        <f>G$4*0.2</f>
        <v/>
      </c>
      <c r="H10" s="4">
        <f>H$4*0.2</f>
        <v/>
      </c>
      <c r="I10" s="4">
        <f>I$4*0.2</f>
        <v/>
      </c>
      <c r="J10" s="4">
        <f>J$4*0.2</f>
        <v/>
      </c>
      <c r="K10" s="4">
        <f>K$4*0.2</f>
        <v/>
      </c>
      <c r="L10" s="4">
        <f>L$4*0.2</f>
        <v/>
      </c>
      <c r="M10" s="4">
        <f>M$4*0.2</f>
        <v/>
      </c>
      <c r="N10" s="4">
        <f>N$4*0.2</f>
        <v/>
      </c>
    </row>
    <row r="11">
      <c r="B11" t="inlineStr">
        <is>
          <t>4 - Base = 40%</t>
        </is>
      </c>
      <c r="C11" s="4">
        <f>C$4*0.4</f>
        <v/>
      </c>
      <c r="D11" s="4">
        <f>D$4*0.4</f>
        <v/>
      </c>
      <c r="E11" s="4">
        <f>E$4*0.4</f>
        <v/>
      </c>
      <c r="F11" s="4">
        <f>F$4*0.4</f>
        <v/>
      </c>
      <c r="G11" s="4">
        <f>G$4*0.4</f>
        <v/>
      </c>
      <c r="H11" s="4">
        <f>H$4*0.4</f>
        <v/>
      </c>
      <c r="I11" s="4">
        <f>I$4*0.4</f>
        <v/>
      </c>
      <c r="J11" s="4">
        <f>J$4*0.4</f>
        <v/>
      </c>
      <c r="K11" s="4">
        <f>K$4*0.4</f>
        <v/>
      </c>
      <c r="L11" s="4">
        <f>L$4*0.4</f>
        <v/>
      </c>
      <c r="M11" s="4">
        <f>M$4*0.4</f>
        <v/>
      </c>
      <c r="N11" s="4">
        <f>N$4*0.4</f>
        <v/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B55" sqref="B55"/>
    </sheetView>
  </sheetViews>
  <sheetFormatPr baseColWidth="8" defaultRowHeight="14.5"/>
  <cols>
    <col width="15.7265625" customWidth="1" min="1" max="1"/>
    <col width="19.6328125" customWidth="1" min="2" max="2"/>
    <col width="10.36328125" customWidth="1" style="4" min="3" max="3"/>
    <col width="8.7265625" customWidth="1" style="4" min="4" max="14"/>
  </cols>
  <sheetData>
    <row r="1">
      <c r="A1" t="inlineStr">
        <is>
          <t>340 E 300 N</t>
        </is>
      </c>
    </row>
    <row r="2">
      <c r="A2" t="inlineStr">
        <is>
          <t>Account Number:</t>
        </is>
      </c>
    </row>
    <row r="3">
      <c r="B3" t="inlineStr">
        <is>
          <t xml:space="preserve"> </t>
        </is>
      </c>
      <c r="C3" s="4" t="inlineStr">
        <is>
          <t>Jan</t>
        </is>
      </c>
      <c r="D3" s="4" t="inlineStr">
        <is>
          <t>Feb</t>
        </is>
      </c>
      <c r="E3" s="4" t="inlineStr">
        <is>
          <t>Mar</t>
        </is>
      </c>
      <c r="F3" s="4" t="inlineStr">
        <is>
          <t>Apr</t>
        </is>
      </c>
      <c r="G3" s="4" t="inlineStr">
        <is>
          <t>May</t>
        </is>
      </c>
      <c r="H3" s="4" t="inlineStr">
        <is>
          <t>Jun</t>
        </is>
      </c>
      <c r="I3" s="4" t="inlineStr">
        <is>
          <t>Jul</t>
        </is>
      </c>
      <c r="J3" s="4" t="inlineStr">
        <is>
          <t>Aug</t>
        </is>
      </c>
      <c r="K3" s="4" t="inlineStr">
        <is>
          <t>Sep</t>
        </is>
      </c>
      <c r="L3" s="4" t="inlineStr">
        <is>
          <t>Oct</t>
        </is>
      </c>
      <c r="M3" s="4" t="inlineStr">
        <is>
          <t>Nov</t>
        </is>
      </c>
      <c r="N3" s="4" t="inlineStr">
        <is>
          <t>Dec</t>
        </is>
      </c>
    </row>
    <row r="4">
      <c r="A4" s="2" t="inlineStr">
        <is>
          <t>Enbridge</t>
        </is>
      </c>
      <c r="B4" t="inlineStr">
        <is>
          <t>Total Bill</t>
        </is>
      </c>
      <c r="C4" s="4" t="n">
        <v>286.45</v>
      </c>
      <c r="D4" s="4" t="n">
        <v>217.41</v>
      </c>
      <c r="E4" s="4" t="n">
        <v>147.74</v>
      </c>
      <c r="F4" s="4" t="n">
        <v>126.55</v>
      </c>
      <c r="G4" s="4" t="n">
        <v>15.49</v>
      </c>
      <c r="J4" s="4" t="n">
        <v>16.29</v>
      </c>
      <c r="K4" s="4" t="n">
        <v>21.07</v>
      </c>
    </row>
    <row r="5">
      <c r="B5" t="inlineStr">
        <is>
          <t>Bill Date</t>
        </is>
      </c>
    </row>
    <row r="6">
      <c r="B6" t="inlineStr">
        <is>
          <t>Service Dates</t>
        </is>
      </c>
    </row>
    <row r="7">
      <c r="B7" t="inlineStr">
        <is>
          <t>Due Date</t>
        </is>
      </c>
    </row>
    <row r="8">
      <c r="B8" s="1" t="inlineStr">
        <is>
          <t>Main = 50%</t>
        </is>
      </c>
      <c r="C8" s="4">
        <f>C4*0.5</f>
        <v/>
      </c>
      <c r="D8" s="4">
        <f>D4*0.5</f>
        <v/>
      </c>
      <c r="E8" s="4">
        <f>E4*0.5</f>
        <v/>
      </c>
      <c r="F8" s="4">
        <f>F4*0.5</f>
        <v/>
      </c>
      <c r="G8" s="4">
        <f>G4*0.5</f>
        <v/>
      </c>
      <c r="H8" s="4">
        <f>H4*0.5</f>
        <v/>
      </c>
      <c r="I8" s="4">
        <f>I4*0.5</f>
        <v/>
      </c>
      <c r="J8" s="4">
        <f>J4*0.5</f>
        <v/>
      </c>
      <c r="K8" s="4">
        <f>K4*0.5</f>
        <v/>
      </c>
      <c r="L8" s="4">
        <f>L4*0.5</f>
        <v/>
      </c>
      <c r="M8" s="4">
        <f>M4*0.5</f>
        <v/>
      </c>
      <c r="N8" s="4">
        <f>N4*0.5</f>
        <v/>
      </c>
    </row>
    <row r="9">
      <c r="B9" s="1" t="inlineStr">
        <is>
          <t>Base = 0%</t>
        </is>
      </c>
    </row>
    <row r="11">
      <c r="A11" t="inlineStr">
        <is>
          <t>Account Number:</t>
        </is>
      </c>
    </row>
    <row r="12">
      <c r="B12" t="inlineStr">
        <is>
          <t xml:space="preserve"> </t>
        </is>
      </c>
      <c r="C12" s="4" t="inlineStr">
        <is>
          <t>Jan</t>
        </is>
      </c>
      <c r="D12" s="4" t="inlineStr">
        <is>
          <t>Feb</t>
        </is>
      </c>
      <c r="E12" s="4" t="inlineStr">
        <is>
          <t>Mar</t>
        </is>
      </c>
      <c r="F12" s="4" t="inlineStr">
        <is>
          <t>Apr</t>
        </is>
      </c>
      <c r="G12" s="4" t="inlineStr">
        <is>
          <t>May</t>
        </is>
      </c>
      <c r="H12" s="4" t="inlineStr">
        <is>
          <t>Jun</t>
        </is>
      </c>
      <c r="I12" s="4" t="inlineStr">
        <is>
          <t>Jul</t>
        </is>
      </c>
      <c r="J12" s="4" t="inlineStr">
        <is>
          <t>Aug</t>
        </is>
      </c>
      <c r="K12" s="4" t="inlineStr">
        <is>
          <t>Sep</t>
        </is>
      </c>
      <c r="L12" s="4" t="inlineStr">
        <is>
          <t>Oct</t>
        </is>
      </c>
      <c r="M12" s="4" t="inlineStr">
        <is>
          <t>Nov</t>
        </is>
      </c>
      <c r="N12" s="4" t="inlineStr">
        <is>
          <t>Dec</t>
        </is>
      </c>
    </row>
    <row r="13">
      <c r="A13" s="2" t="inlineStr">
        <is>
          <t>Logan City</t>
        </is>
      </c>
      <c r="B13" t="inlineStr">
        <is>
          <t>Total Bill</t>
        </is>
      </c>
      <c r="C13" s="4" t="n">
        <v>148.56</v>
      </c>
      <c r="D13" s="4" t="n">
        <v>139.63</v>
      </c>
      <c r="H13" s="4" t="n">
        <v>127.51</v>
      </c>
      <c r="I13" s="4" t="n">
        <v>151.51</v>
      </c>
      <c r="J13" s="4" t="n">
        <v>247.14</v>
      </c>
      <c r="K13" s="4" t="n">
        <v>256.58</v>
      </c>
      <c r="L13" t="inlineStr">
        <is>
          <t>10/22/2025</t>
        </is>
      </c>
    </row>
    <row r="14">
      <c r="B14" t="inlineStr">
        <is>
          <t>Bill Date</t>
        </is>
      </c>
    </row>
    <row r="15">
      <c r="B15" t="inlineStr">
        <is>
          <t>Service Dates</t>
        </is>
      </c>
      <c r="L15" t="inlineStr">
        <is>
          <t>10/22/2025</t>
        </is>
      </c>
    </row>
    <row r="16">
      <c r="B16" t="inlineStr">
        <is>
          <t>Due Date</t>
        </is>
      </c>
      <c r="L16" t="inlineStr">
        <is>
          <t>9/15/2025-10/14/2025</t>
        </is>
      </c>
    </row>
    <row r="17">
      <c r="B17" t="inlineStr">
        <is>
          <t>Main = 50%</t>
        </is>
      </c>
      <c r="C17" s="4">
        <f>C13*0.5</f>
        <v/>
      </c>
      <c r="D17" s="4">
        <f>D13*0.5</f>
        <v/>
      </c>
      <c r="E17" s="4">
        <f>E13*0.5</f>
        <v/>
      </c>
      <c r="F17" s="4">
        <f>F13*0.5</f>
        <v/>
      </c>
      <c r="G17" s="4">
        <f>G13*0.5</f>
        <v/>
      </c>
      <c r="H17" s="4">
        <f>H13*0.5</f>
        <v/>
      </c>
      <c r="I17" s="4">
        <f>I13*0.5</f>
        <v/>
      </c>
      <c r="J17" s="4">
        <f>J13*0.5</f>
        <v/>
      </c>
      <c r="K17" s="4">
        <f>K13*0.5</f>
        <v/>
      </c>
      <c r="L17" s="4" t="n">
        <v>200.11</v>
      </c>
      <c r="M17" s="4">
        <f>M13*0.5</f>
        <v/>
      </c>
      <c r="N17" s="4">
        <f>N13*0.5</f>
        <v/>
      </c>
    </row>
    <row r="18">
      <c r="B18" t="inlineStr">
        <is>
          <t>Base = 0%</t>
        </is>
      </c>
    </row>
  </sheetData>
  <pageMargins left="0.7" right="0.7" top="0.75" bottom="0.75" header="0.3" footer="0.3"/>
  <pageSetup orientation="portrait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B55" sqref="B55"/>
    </sheetView>
  </sheetViews>
  <sheetFormatPr baseColWidth="8" defaultRowHeight="14.5"/>
  <cols>
    <col width="15.7265625" customWidth="1" min="1" max="1"/>
    <col width="19.6328125" customWidth="1" min="2" max="2"/>
    <col width="10.36328125" customWidth="1" style="4" min="3" max="3"/>
    <col width="8.7265625" customWidth="1" style="4" min="4" max="14"/>
  </cols>
  <sheetData>
    <row r="1">
      <c r="A1" t="inlineStr">
        <is>
          <t>420 N 400 E</t>
        </is>
      </c>
    </row>
    <row r="2">
      <c r="A2" t="inlineStr">
        <is>
          <t>Account Number:</t>
        </is>
      </c>
    </row>
    <row r="3">
      <c r="B3" t="inlineStr">
        <is>
          <t xml:space="preserve"> </t>
        </is>
      </c>
      <c r="C3" s="4" t="inlineStr">
        <is>
          <t>Jan</t>
        </is>
      </c>
      <c r="D3" s="4" t="inlineStr">
        <is>
          <t>Feb</t>
        </is>
      </c>
      <c r="E3" s="4" t="inlineStr">
        <is>
          <t>Mar</t>
        </is>
      </c>
      <c r="F3" s="4" t="inlineStr">
        <is>
          <t>Apr</t>
        </is>
      </c>
      <c r="G3" s="4" t="inlineStr">
        <is>
          <t>May</t>
        </is>
      </c>
      <c r="H3" s="4" t="inlineStr">
        <is>
          <t>Jun</t>
        </is>
      </c>
      <c r="I3" s="4" t="inlineStr">
        <is>
          <t>Jul</t>
        </is>
      </c>
      <c r="J3" s="4" t="inlineStr">
        <is>
          <t>Aug</t>
        </is>
      </c>
      <c r="K3" s="4" t="inlineStr">
        <is>
          <t>Sep</t>
        </is>
      </c>
      <c r="L3" s="4" t="inlineStr">
        <is>
          <t>Oct</t>
        </is>
      </c>
      <c r="M3" s="4" t="inlineStr">
        <is>
          <t>Nov</t>
        </is>
      </c>
      <c r="N3" s="4" t="inlineStr">
        <is>
          <t>Dec</t>
        </is>
      </c>
    </row>
    <row r="4">
      <c r="A4" s="2" t="inlineStr">
        <is>
          <t>Logan City</t>
        </is>
      </c>
      <c r="B4" t="inlineStr">
        <is>
          <t>Total Bill</t>
        </is>
      </c>
      <c r="C4" s="4" t="n">
        <v>200.74</v>
      </c>
      <c r="D4" s="4" t="n">
        <v>194.97</v>
      </c>
      <c r="F4" s="4" t="n">
        <v>170.59</v>
      </c>
      <c r="H4" s="4" t="n">
        <v>265.15</v>
      </c>
      <c r="I4" s="4" t="n">
        <v>405.38</v>
      </c>
      <c r="J4" s="4" t="n">
        <v>407.63</v>
      </c>
      <c r="K4" s="4" t="n">
        <v>360.12</v>
      </c>
      <c r="L4" t="inlineStr">
        <is>
          <t>10/22/2025</t>
        </is>
      </c>
      <c r="N4" s="4" t="n">
        <v>0</v>
      </c>
    </row>
    <row r="5">
      <c r="B5" t="inlineStr">
        <is>
          <t>Bill Date</t>
        </is>
      </c>
    </row>
    <row r="6">
      <c r="B6" t="inlineStr">
        <is>
          <t>Service Dates</t>
        </is>
      </c>
      <c r="L6" t="inlineStr">
        <is>
          <t>10/22/2025</t>
        </is>
      </c>
    </row>
    <row r="7">
      <c r="B7" t="inlineStr">
        <is>
          <t>Due Date</t>
        </is>
      </c>
      <c r="L7" t="inlineStr">
        <is>
          <t>9/15/2025-10/14/2025</t>
        </is>
      </c>
    </row>
    <row r="8">
      <c r="B8" t="inlineStr">
        <is>
          <t>#1 = 70%</t>
        </is>
      </c>
      <c r="C8" s="4">
        <f>C4*0.7</f>
        <v/>
      </c>
      <c r="D8" s="4">
        <f>D4*0.7</f>
        <v/>
      </c>
      <c r="E8" s="4">
        <f>E4*0.7</f>
        <v/>
      </c>
      <c r="F8" s="4">
        <f>F4*0.7</f>
        <v/>
      </c>
      <c r="G8" s="4">
        <f>G4*0.7</f>
        <v/>
      </c>
      <c r="H8" s="4">
        <f>H4*0.7</f>
        <v/>
      </c>
      <c r="I8" s="4">
        <f>I4*0.7</f>
        <v/>
      </c>
      <c r="J8" s="4">
        <f>J4*0.7</f>
        <v/>
      </c>
      <c r="K8" s="4">
        <f>K4*0.7</f>
        <v/>
      </c>
      <c r="L8" s="4" t="n">
        <v>206.14</v>
      </c>
      <c r="M8" s="4">
        <f>M4*0.7</f>
        <v/>
      </c>
      <c r="N8" s="4">
        <f>N4*0.7</f>
        <v/>
      </c>
    </row>
    <row r="9">
      <c r="B9" t="inlineStr">
        <is>
          <t>#2 = 30%</t>
        </is>
      </c>
      <c r="C9" s="4">
        <f>C$4*0.3</f>
        <v/>
      </c>
      <c r="D9" s="4">
        <f>D$4*0.3</f>
        <v/>
      </c>
      <c r="E9" s="4">
        <f>E$4*0.3</f>
        <v/>
      </c>
      <c r="F9" s="4">
        <f>F$4*0.3</f>
        <v/>
      </c>
      <c r="G9" s="4">
        <f>G$4*0.3</f>
        <v/>
      </c>
      <c r="H9" s="4">
        <f>H$4*0.3</f>
        <v/>
      </c>
      <c r="I9" s="4">
        <f>I$4*0.3</f>
        <v/>
      </c>
      <c r="J9" s="4">
        <f>J$4*0.3</f>
        <v/>
      </c>
      <c r="K9" s="4">
        <f>K$4*0.3</f>
        <v/>
      </c>
      <c r="L9" s="4">
        <f>L$4*0.3</f>
        <v/>
      </c>
      <c r="M9" s="4">
        <f>M$4*0.3</f>
        <v/>
      </c>
      <c r="N9" s="4">
        <f>N$4*0.3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B55" sqref="B55"/>
    </sheetView>
  </sheetViews>
  <sheetFormatPr baseColWidth="8" defaultRowHeight="14.5"/>
  <cols>
    <col width="15.7265625" customWidth="1" min="1" max="1"/>
    <col width="19.6328125" customWidth="1" min="2" max="2"/>
    <col width="10.36328125" customWidth="1" style="4" min="3" max="3"/>
    <col width="8.7265625" customWidth="1" style="4" min="4" max="14"/>
  </cols>
  <sheetData>
    <row r="1">
      <c r="A1" t="inlineStr">
        <is>
          <t>320 E 400 N</t>
        </is>
      </c>
    </row>
    <row r="2">
      <c r="A2" t="inlineStr">
        <is>
          <t>Account Number:</t>
        </is>
      </c>
    </row>
    <row r="3">
      <c r="B3" t="inlineStr">
        <is>
          <t xml:space="preserve"> </t>
        </is>
      </c>
      <c r="C3" s="4" t="inlineStr">
        <is>
          <t>Jan</t>
        </is>
      </c>
      <c r="D3" s="4" t="inlineStr">
        <is>
          <t>Feb</t>
        </is>
      </c>
      <c r="E3" s="4" t="inlineStr">
        <is>
          <t>Mar</t>
        </is>
      </c>
      <c r="F3" s="4" t="inlineStr">
        <is>
          <t>Apr</t>
        </is>
      </c>
      <c r="G3" s="4" t="inlineStr">
        <is>
          <t>May</t>
        </is>
      </c>
      <c r="H3" s="4" t="inlineStr">
        <is>
          <t>Jun</t>
        </is>
      </c>
      <c r="I3" s="4" t="inlineStr">
        <is>
          <t>Jul</t>
        </is>
      </c>
      <c r="J3" s="4" t="inlineStr">
        <is>
          <t>Aug</t>
        </is>
      </c>
      <c r="K3" s="4" t="inlineStr">
        <is>
          <t>Sep</t>
        </is>
      </c>
      <c r="L3" s="4" t="inlineStr">
        <is>
          <t>Oct</t>
        </is>
      </c>
      <c r="M3" s="4" t="inlineStr">
        <is>
          <t>Nov</t>
        </is>
      </c>
      <c r="N3" s="4" t="inlineStr">
        <is>
          <t>Dec</t>
        </is>
      </c>
    </row>
    <row r="4">
      <c r="A4" s="2" t="inlineStr">
        <is>
          <t>Enbridge</t>
        </is>
      </c>
      <c r="B4" t="inlineStr">
        <is>
          <t>Total Bill</t>
        </is>
      </c>
      <c r="C4" s="4" t="n">
        <v>246.12</v>
      </c>
      <c r="D4" s="4" t="n">
        <v>185.46</v>
      </c>
      <c r="E4" s="4" t="n">
        <v>45.81</v>
      </c>
      <c r="H4" s="4" t="n">
        <v>22.5</v>
      </c>
      <c r="I4" s="4" t="n">
        <v>15.49</v>
      </c>
      <c r="J4" s="4" t="n">
        <v>21.81</v>
      </c>
      <c r="K4" s="4" t="n">
        <v>18.28</v>
      </c>
    </row>
    <row r="5">
      <c r="B5" t="inlineStr">
        <is>
          <t>Bill Date</t>
        </is>
      </c>
    </row>
    <row r="6">
      <c r="B6" t="inlineStr">
        <is>
          <t>Service Dates</t>
        </is>
      </c>
    </row>
    <row r="7">
      <c r="B7" t="inlineStr">
        <is>
          <t>Due Date</t>
        </is>
      </c>
    </row>
    <row r="8">
      <c r="B8" t="inlineStr">
        <is>
          <t>#1 = 65%</t>
        </is>
      </c>
      <c r="C8" s="4">
        <f>C4*0.65</f>
        <v/>
      </c>
      <c r="D8" s="4">
        <f>D4*0.65</f>
        <v/>
      </c>
      <c r="E8" s="4">
        <f>E4*0.65</f>
        <v/>
      </c>
      <c r="F8" s="4">
        <f>F4*0.65</f>
        <v/>
      </c>
      <c r="G8" s="4">
        <f>G4*0.65</f>
        <v/>
      </c>
      <c r="H8" s="4">
        <f>H4*0.65</f>
        <v/>
      </c>
      <c r="I8" s="4">
        <f>I4*0.65</f>
        <v/>
      </c>
      <c r="J8" s="4">
        <f>J4*0.65</f>
        <v/>
      </c>
      <c r="K8" s="4">
        <f>K4*0.65</f>
        <v/>
      </c>
      <c r="L8" s="4">
        <f>L4*0.65</f>
        <v/>
      </c>
      <c r="M8" s="4">
        <f>M4*0.65</f>
        <v/>
      </c>
      <c r="N8" s="4">
        <f>N4*0.65</f>
        <v/>
      </c>
    </row>
    <row r="9">
      <c r="B9" t="inlineStr">
        <is>
          <t>#2 = 35%</t>
        </is>
      </c>
      <c r="C9" s="4">
        <f>C$4*0.35</f>
        <v/>
      </c>
      <c r="D9" s="4">
        <f>D$4*0.35</f>
        <v/>
      </c>
      <c r="E9" s="4">
        <f>E$4*0.35</f>
        <v/>
      </c>
      <c r="F9" s="4">
        <f>F$4*0.35</f>
        <v/>
      </c>
      <c r="G9" s="4">
        <f>G$4*0.35</f>
        <v/>
      </c>
      <c r="H9" s="4">
        <f>H$4*0.35</f>
        <v/>
      </c>
      <c r="I9" s="4">
        <f>I$4*0.35</f>
        <v/>
      </c>
      <c r="J9" s="4">
        <f>J$4*0.35</f>
        <v/>
      </c>
      <c r="K9" s="4">
        <f>K$4*0.35</f>
        <v/>
      </c>
      <c r="L9" s="4">
        <f>L$4*0.35</f>
        <v/>
      </c>
      <c r="M9" s="4">
        <f>M$4*0.35</f>
        <v/>
      </c>
      <c r="N9" s="4">
        <f>N$4*0.35</f>
        <v/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B55" sqref="B55"/>
    </sheetView>
  </sheetViews>
  <sheetFormatPr baseColWidth="8" defaultRowHeight="14.5"/>
  <cols>
    <col width="15.7265625" customWidth="1" min="1" max="1"/>
    <col width="19.6328125" customWidth="1" min="2" max="2"/>
    <col width="10.36328125" customWidth="1" style="4" min="3" max="3"/>
    <col width="8.7265625" customWidth="1" style="4" min="4" max="14"/>
  </cols>
  <sheetData>
    <row r="1">
      <c r="A1" t="inlineStr">
        <is>
          <t>61 W 500 N</t>
        </is>
      </c>
    </row>
    <row r="2">
      <c r="A2" t="inlineStr">
        <is>
          <t>Account Number:</t>
        </is>
      </c>
    </row>
    <row r="3">
      <c r="B3" t="inlineStr">
        <is>
          <t xml:space="preserve"> </t>
        </is>
      </c>
      <c r="C3" s="4" t="inlineStr">
        <is>
          <t>Jan</t>
        </is>
      </c>
      <c r="D3" s="4" t="inlineStr">
        <is>
          <t>Feb</t>
        </is>
      </c>
      <c r="E3" s="4" t="inlineStr">
        <is>
          <t>Mar</t>
        </is>
      </c>
      <c r="F3" s="4" t="inlineStr">
        <is>
          <t>Apr</t>
        </is>
      </c>
      <c r="G3" s="4" t="inlineStr">
        <is>
          <t>May</t>
        </is>
      </c>
      <c r="H3" s="4" t="inlineStr">
        <is>
          <t>Jun</t>
        </is>
      </c>
      <c r="I3" s="4" t="inlineStr">
        <is>
          <t>Jul</t>
        </is>
      </c>
      <c r="J3" s="4" t="inlineStr">
        <is>
          <t>Aug</t>
        </is>
      </c>
      <c r="K3" s="4" t="inlineStr">
        <is>
          <t>Sep</t>
        </is>
      </c>
      <c r="L3" s="4" t="inlineStr">
        <is>
          <t>Oct</t>
        </is>
      </c>
      <c r="M3" s="4" t="inlineStr">
        <is>
          <t>Nov</t>
        </is>
      </c>
      <c r="N3" s="4" t="inlineStr">
        <is>
          <t>Dec</t>
        </is>
      </c>
    </row>
    <row r="4">
      <c r="A4" s="2" t="inlineStr">
        <is>
          <t>Enbridge</t>
        </is>
      </c>
      <c r="B4" t="inlineStr">
        <is>
          <t>Total Bill</t>
        </is>
      </c>
      <c r="H4" s="4" t="n">
        <v>16.2</v>
      </c>
      <c r="I4" s="4" t="n">
        <v>15.51</v>
      </c>
      <c r="J4" s="4" t="n">
        <v>17.76</v>
      </c>
      <c r="K4" s="4" t="n">
        <v>14.84</v>
      </c>
    </row>
    <row r="5">
      <c r="B5" t="inlineStr">
        <is>
          <t>Bill Date</t>
        </is>
      </c>
    </row>
    <row r="6">
      <c r="B6" t="inlineStr">
        <is>
          <t>Service Dates</t>
        </is>
      </c>
    </row>
    <row r="7">
      <c r="B7" t="inlineStr">
        <is>
          <t>Due Date</t>
        </is>
      </c>
    </row>
    <row r="8">
      <c r="B8" t="inlineStr">
        <is>
          <t>101 = 50%</t>
        </is>
      </c>
      <c r="C8" s="4">
        <f>C4*0.5</f>
        <v/>
      </c>
      <c r="D8" s="4">
        <f>D4*0.5</f>
        <v/>
      </c>
      <c r="E8" s="4">
        <f>E4*0.5</f>
        <v/>
      </c>
      <c r="F8" s="4">
        <f>F4*0.5</f>
        <v/>
      </c>
      <c r="G8" s="4">
        <f>G4*0.5</f>
        <v/>
      </c>
      <c r="H8" s="4">
        <f>H4*0.5</f>
        <v/>
      </c>
      <c r="I8" s="4">
        <f>I4*0.5</f>
        <v/>
      </c>
      <c r="J8" s="4">
        <f>J4*0.5</f>
        <v/>
      </c>
      <c r="K8" s="4">
        <f>K4*0.5</f>
        <v/>
      </c>
      <c r="L8" s="4">
        <f>L4*0.5</f>
        <v/>
      </c>
      <c r="M8" s="4">
        <f>M4*0.5</f>
        <v/>
      </c>
      <c r="N8" s="4">
        <f>N4*0.5</f>
        <v/>
      </c>
    </row>
    <row r="9">
      <c r="B9" t="inlineStr">
        <is>
          <t>202 = 50%</t>
        </is>
      </c>
      <c r="C9" s="4">
        <f>C4*0.5</f>
        <v/>
      </c>
      <c r="D9" s="4">
        <f>D4*0.5</f>
        <v/>
      </c>
      <c r="E9" s="4">
        <f>E4*0.5</f>
        <v/>
      </c>
      <c r="F9" s="4">
        <f>F4*0.5</f>
        <v/>
      </c>
      <c r="G9" s="4">
        <f>G4*0.5</f>
        <v/>
      </c>
      <c r="H9" s="4">
        <f>H4*0.5</f>
        <v/>
      </c>
      <c r="I9" s="4">
        <f>I4*0.5</f>
        <v/>
      </c>
      <c r="J9" s="4">
        <f>J4*0.5</f>
        <v/>
      </c>
      <c r="K9" s="4">
        <f>K4*0.5</f>
        <v/>
      </c>
      <c r="L9" s="4">
        <f>L4*0.5</f>
        <v/>
      </c>
      <c r="M9" s="4">
        <f>M4*0.5</f>
        <v/>
      </c>
      <c r="N9" s="4">
        <f>N4*0.5</f>
        <v/>
      </c>
    </row>
    <row r="10"/>
    <row r="11">
      <c r="A11" t="inlineStr">
        <is>
          <t>Account Number:</t>
        </is>
      </c>
    </row>
    <row r="12">
      <c r="B12" t="inlineStr">
        <is>
          <t xml:space="preserve"> </t>
        </is>
      </c>
      <c r="C12" s="4" t="inlineStr">
        <is>
          <t>Jan</t>
        </is>
      </c>
      <c r="D12" s="4" t="inlineStr">
        <is>
          <t>Feb</t>
        </is>
      </c>
      <c r="E12" s="4" t="inlineStr">
        <is>
          <t>Mar</t>
        </is>
      </c>
      <c r="F12" s="4" t="inlineStr">
        <is>
          <t>Apr</t>
        </is>
      </c>
      <c r="G12" s="4" t="inlineStr">
        <is>
          <t>May</t>
        </is>
      </c>
      <c r="H12" s="4" t="inlineStr">
        <is>
          <t>Jun</t>
        </is>
      </c>
      <c r="I12" s="4" t="inlineStr">
        <is>
          <t>Jul</t>
        </is>
      </c>
      <c r="J12" s="4" t="inlineStr">
        <is>
          <t>Aug</t>
        </is>
      </c>
      <c r="K12" s="4" t="inlineStr">
        <is>
          <t>Sep</t>
        </is>
      </c>
      <c r="L12" s="4" t="inlineStr">
        <is>
          <t>Oct</t>
        </is>
      </c>
      <c r="M12" s="4" t="inlineStr">
        <is>
          <t>Nov</t>
        </is>
      </c>
      <c r="N12" s="4" t="inlineStr">
        <is>
          <t>Dec</t>
        </is>
      </c>
    </row>
    <row r="13">
      <c r="A13" s="2" t="inlineStr">
        <is>
          <t>Logan City</t>
        </is>
      </c>
      <c r="B13" t="inlineStr">
        <is>
          <t>Total Bill</t>
        </is>
      </c>
      <c r="L13" t="inlineStr">
        <is>
          <t>10/22/2025</t>
        </is>
      </c>
    </row>
    <row r="14">
      <c r="B14" t="inlineStr">
        <is>
          <t>Bill Date</t>
        </is>
      </c>
    </row>
    <row r="15">
      <c r="B15" t="inlineStr">
        <is>
          <t>Service Dates</t>
        </is>
      </c>
      <c r="L15" t="inlineStr">
        <is>
          <t>10/22/2025</t>
        </is>
      </c>
    </row>
    <row r="16">
      <c r="B16" t="inlineStr">
        <is>
          <t>Due Date</t>
        </is>
      </c>
      <c r="L16" t="inlineStr">
        <is>
          <t>9/15/2025-10/14/2025</t>
        </is>
      </c>
    </row>
    <row r="17">
      <c r="B17" t="inlineStr">
        <is>
          <t>101 = 50%</t>
        </is>
      </c>
      <c r="C17" s="4">
        <f>C13*0.5</f>
        <v/>
      </c>
      <c r="D17" s="4">
        <f>D13*0.5</f>
        <v/>
      </c>
      <c r="E17" s="4">
        <f>E13*0.5</f>
        <v/>
      </c>
      <c r="F17" s="4">
        <f>F13*0.5</f>
        <v/>
      </c>
      <c r="G17" s="4">
        <f>G13*0.5</f>
        <v/>
      </c>
      <c r="H17" s="4">
        <f>H13*0.5</f>
        <v/>
      </c>
      <c r="I17" s="4">
        <f>I13*0.5</f>
        <v/>
      </c>
      <c r="J17" s="4">
        <f>J13*0.5</f>
        <v/>
      </c>
      <c r="K17" s="4">
        <f>K13*0.5</f>
        <v/>
      </c>
      <c r="L17" s="4" t="n">
        <v>340.34</v>
      </c>
      <c r="M17" s="4">
        <f>M13*0.5</f>
        <v/>
      </c>
      <c r="N17" s="4">
        <f>N13*0.5</f>
        <v/>
      </c>
    </row>
    <row r="18">
      <c r="B18" t="inlineStr">
        <is>
          <t>202 = 50%</t>
        </is>
      </c>
      <c r="C18" s="4">
        <f>C13*0.5</f>
        <v/>
      </c>
      <c r="D18" s="4">
        <f>D13*0.5</f>
        <v/>
      </c>
      <c r="E18" s="4">
        <f>E13*0.5</f>
        <v/>
      </c>
      <c r="F18" s="4">
        <f>F13*0.5</f>
        <v/>
      </c>
      <c r="G18" s="4">
        <f>G13*0.5</f>
        <v/>
      </c>
      <c r="H18" s="4">
        <f>H13*0.5</f>
        <v/>
      </c>
      <c r="I18" s="4">
        <f>I13*0.5</f>
        <v/>
      </c>
      <c r="J18" s="4">
        <f>J13*0.5</f>
        <v/>
      </c>
      <c r="K18" s="4">
        <f>K13*0.5</f>
        <v/>
      </c>
      <c r="L18" s="4">
        <f>L13*0.5</f>
        <v/>
      </c>
      <c r="M18" s="4">
        <f>M13*0.5</f>
        <v/>
      </c>
      <c r="N18" s="4">
        <f>N13*0.5</f>
        <v/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B55" sqref="B55"/>
    </sheetView>
  </sheetViews>
  <sheetFormatPr baseColWidth="8" defaultRowHeight="14.5"/>
  <cols>
    <col width="15.7265625" customWidth="1" min="1" max="1"/>
    <col width="19.6328125" customWidth="1" min="2" max="2"/>
    <col width="10.36328125" customWidth="1" style="4" min="3" max="3"/>
    <col width="8.7265625" customWidth="1" style="4" min="4" max="14"/>
  </cols>
  <sheetData>
    <row r="1">
      <c r="A1" t="inlineStr">
        <is>
          <t>124 N 200 W</t>
        </is>
      </c>
    </row>
    <row r="2">
      <c r="A2" t="inlineStr">
        <is>
          <t>Account Number:</t>
        </is>
      </c>
      <c r="B2" t="n">
        <v>2644027099</v>
      </c>
    </row>
    <row r="3">
      <c r="B3" t="inlineStr">
        <is>
          <t xml:space="preserve"> </t>
        </is>
      </c>
      <c r="C3" s="4" t="inlineStr">
        <is>
          <t>Jan</t>
        </is>
      </c>
      <c r="D3" s="4" t="inlineStr">
        <is>
          <t>Feb</t>
        </is>
      </c>
      <c r="E3" s="4" t="inlineStr">
        <is>
          <t>Mar</t>
        </is>
      </c>
      <c r="F3" s="4" t="inlineStr">
        <is>
          <t>Apr</t>
        </is>
      </c>
      <c r="G3" s="4" t="inlineStr">
        <is>
          <t>May</t>
        </is>
      </c>
      <c r="H3" s="4" t="inlineStr">
        <is>
          <t>Jun</t>
        </is>
      </c>
      <c r="I3" s="4" t="inlineStr">
        <is>
          <t>Jul</t>
        </is>
      </c>
      <c r="J3" s="4" t="inlineStr">
        <is>
          <t>Aug</t>
        </is>
      </c>
      <c r="K3" s="4" t="inlineStr">
        <is>
          <t>Sep</t>
        </is>
      </c>
      <c r="L3" s="4" t="inlineStr">
        <is>
          <t>Oct</t>
        </is>
      </c>
      <c r="M3" s="4" t="inlineStr">
        <is>
          <t>Nov</t>
        </is>
      </c>
      <c r="N3" s="4" t="inlineStr">
        <is>
          <t>Dec</t>
        </is>
      </c>
    </row>
    <row r="4">
      <c r="A4" s="2" t="inlineStr">
        <is>
          <t>Enbridge</t>
        </is>
      </c>
      <c r="B4" t="inlineStr">
        <is>
          <t>Total Bill</t>
        </is>
      </c>
      <c r="C4" s="4" t="n">
        <v>419.27</v>
      </c>
      <c r="D4" s="4" t="n">
        <v>0</v>
      </c>
      <c r="E4" s="4" t="n">
        <v>0</v>
      </c>
      <c r="F4" s="4" t="n">
        <v>186.91</v>
      </c>
      <c r="G4" s="4" t="n">
        <v>84.89</v>
      </c>
      <c r="H4" s="4" t="n">
        <v>0</v>
      </c>
      <c r="I4" s="4" t="n">
        <v>0</v>
      </c>
      <c r="J4" s="4" t="n">
        <v>0</v>
      </c>
      <c r="K4" s="4" t="n">
        <v>0</v>
      </c>
      <c r="N4" s="4" t="n">
        <v>0</v>
      </c>
    </row>
    <row r="5">
      <c r="B5" t="inlineStr">
        <is>
          <t>Bill Date</t>
        </is>
      </c>
    </row>
    <row r="6">
      <c r="B6" t="inlineStr">
        <is>
          <t>Service Dates</t>
        </is>
      </c>
    </row>
    <row r="7">
      <c r="B7" t="inlineStr">
        <is>
          <t>Due Date</t>
        </is>
      </c>
    </row>
    <row r="8">
      <c r="B8" t="inlineStr">
        <is>
          <t>#1 = 70%</t>
        </is>
      </c>
      <c r="C8" s="4">
        <f>C4*0.7</f>
        <v/>
      </c>
      <c r="D8" s="4">
        <f>D4*0.7</f>
        <v/>
      </c>
      <c r="E8" s="4">
        <f>E4*0.7</f>
        <v/>
      </c>
      <c r="F8" s="4">
        <f>F4*0.7</f>
        <v/>
      </c>
      <c r="G8" s="4">
        <f>G4*0.7</f>
        <v/>
      </c>
      <c r="H8" s="4">
        <f>H4*0.7</f>
        <v/>
      </c>
      <c r="I8" s="4">
        <f>I4*0.7</f>
        <v/>
      </c>
      <c r="J8" s="4">
        <f>J4*0.7</f>
        <v/>
      </c>
      <c r="K8" s="4">
        <f>K4*0.7</f>
        <v/>
      </c>
      <c r="L8" s="4">
        <f>L4*0.7</f>
        <v/>
      </c>
      <c r="M8" s="4">
        <f>M4*0.7</f>
        <v/>
      </c>
      <c r="N8" s="4">
        <f>N4*0.7</f>
        <v/>
      </c>
    </row>
    <row r="9">
      <c r="B9" t="inlineStr">
        <is>
          <t>#2 = 30%</t>
        </is>
      </c>
      <c r="C9" s="4">
        <f>C$4*0.3</f>
        <v/>
      </c>
      <c r="D9" s="4">
        <f>D$4*0.3</f>
        <v/>
      </c>
      <c r="E9" s="4">
        <f>E$4*0.3</f>
        <v/>
      </c>
      <c r="F9" s="4">
        <f>F$4*0.3</f>
        <v/>
      </c>
      <c r="G9" s="4">
        <f>G$4*0.3</f>
        <v/>
      </c>
      <c r="H9" s="4">
        <f>H$4*0.3</f>
        <v/>
      </c>
      <c r="I9" s="4">
        <f>I$4*0.3</f>
        <v/>
      </c>
      <c r="J9" s="4">
        <f>J$4*0.3</f>
        <v/>
      </c>
      <c r="K9" s="4">
        <f>K$4*0.3</f>
        <v/>
      </c>
      <c r="L9" s="4">
        <f>L$4*0.3</f>
        <v/>
      </c>
      <c r="M9" s="4">
        <f>M$4*0.3</f>
        <v/>
      </c>
      <c r="N9" s="4">
        <f>N$4*0.3</f>
        <v/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tabSelected="1" workbookViewId="0">
      <selection activeCell="C16" sqref="C16"/>
    </sheetView>
  </sheetViews>
  <sheetFormatPr baseColWidth="8" defaultRowHeight="14.5"/>
  <cols>
    <col width="15.7265625" customWidth="1" min="1" max="1"/>
    <col width="19.6328125" customWidth="1" min="2" max="2"/>
    <col width="10.36328125" customWidth="1" style="4" min="3" max="3"/>
    <col width="8.7265625" customWidth="1" style="4" min="4" max="14"/>
  </cols>
  <sheetData>
    <row r="1">
      <c r="A1" t="inlineStr">
        <is>
          <t>438 E 100 S</t>
        </is>
      </c>
    </row>
    <row r="2">
      <c r="A2" t="inlineStr">
        <is>
          <t>Account Number:</t>
        </is>
      </c>
    </row>
    <row r="3">
      <c r="B3" t="inlineStr">
        <is>
          <t xml:space="preserve"> </t>
        </is>
      </c>
      <c r="C3" s="4" t="inlineStr">
        <is>
          <t>Jan</t>
        </is>
      </c>
      <c r="D3" s="4" t="inlineStr">
        <is>
          <t>Feb</t>
        </is>
      </c>
      <c r="E3" s="4" t="inlineStr">
        <is>
          <t>Mar</t>
        </is>
      </c>
      <c r="F3" s="4" t="inlineStr">
        <is>
          <t>Apr</t>
        </is>
      </c>
      <c r="G3" s="4" t="inlineStr">
        <is>
          <t>May</t>
        </is>
      </c>
      <c r="H3" s="4" t="inlineStr">
        <is>
          <t>Jun</t>
        </is>
      </c>
      <c r="I3" s="4" t="inlineStr">
        <is>
          <t>Jul</t>
        </is>
      </c>
      <c r="J3" s="4" t="inlineStr">
        <is>
          <t>Aug</t>
        </is>
      </c>
      <c r="K3" s="4" t="inlineStr">
        <is>
          <t>Sep</t>
        </is>
      </c>
      <c r="L3" s="4" t="inlineStr">
        <is>
          <t>Oct</t>
        </is>
      </c>
      <c r="M3" s="4" t="inlineStr">
        <is>
          <t>Nov</t>
        </is>
      </c>
      <c r="N3" s="4" t="inlineStr">
        <is>
          <t>Dec</t>
        </is>
      </c>
    </row>
    <row r="4">
      <c r="A4" s="2" t="inlineStr">
        <is>
          <t>Enbridge</t>
        </is>
      </c>
      <c r="B4" t="inlineStr">
        <is>
          <t>Total Bill</t>
        </is>
      </c>
      <c r="D4" s="4" t="n">
        <v>360</v>
      </c>
      <c r="E4" s="4" t="n">
        <v>71.64</v>
      </c>
      <c r="F4" s="4" t="n">
        <v>22.16</v>
      </c>
      <c r="J4" s="4" t="n">
        <v>14.99</v>
      </c>
      <c r="K4" s="4" t="n">
        <v>22.19</v>
      </c>
    </row>
    <row r="5">
      <c r="B5" t="inlineStr">
        <is>
          <t>Bill Date</t>
        </is>
      </c>
    </row>
    <row r="6">
      <c r="B6" t="inlineStr">
        <is>
          <t>Service Dates</t>
        </is>
      </c>
    </row>
    <row r="7">
      <c r="B7" t="inlineStr">
        <is>
          <t>Due Date</t>
        </is>
      </c>
    </row>
    <row r="8">
      <c r="B8" t="inlineStr">
        <is>
          <t>1 - Main = 50%</t>
        </is>
      </c>
      <c r="C8" s="4">
        <f>C4*0.5</f>
        <v/>
      </c>
      <c r="D8" s="4">
        <f>D4*0.5</f>
        <v/>
      </c>
      <c r="E8" s="4">
        <f>E4*0.5</f>
        <v/>
      </c>
      <c r="F8" s="4">
        <f>F4*0.5</f>
        <v/>
      </c>
      <c r="G8" s="4">
        <f>G4*0.5</f>
        <v/>
      </c>
      <c r="H8" s="4">
        <f>H4*0.5</f>
        <v/>
      </c>
      <c r="I8" s="4">
        <f>I4*0.5</f>
        <v/>
      </c>
      <c r="J8" s="4">
        <f>J4*0.5</f>
        <v/>
      </c>
      <c r="K8" s="4">
        <f>K4*0.5</f>
        <v/>
      </c>
      <c r="L8" s="4">
        <f>L4*0.5</f>
        <v/>
      </c>
      <c r="M8" s="4">
        <f>M4*0.5</f>
        <v/>
      </c>
      <c r="N8" s="4">
        <f>N4*0.5</f>
        <v/>
      </c>
    </row>
    <row r="9">
      <c r="B9" t="inlineStr">
        <is>
          <t>2 - Dn = 50%</t>
        </is>
      </c>
      <c r="C9" s="4">
        <f>C$4*0.5</f>
        <v/>
      </c>
      <c r="D9" s="4">
        <f>D$4*0.5</f>
        <v/>
      </c>
      <c r="E9" s="4">
        <f>E$4*0.5</f>
        <v/>
      </c>
      <c r="F9" s="4">
        <f>F$4*0.5</f>
        <v/>
      </c>
      <c r="G9" s="4">
        <f>G$4*0.5</f>
        <v/>
      </c>
      <c r="H9" s="4">
        <f>H$4*0.5</f>
        <v/>
      </c>
      <c r="I9" s="4">
        <f>I$4*0.5</f>
        <v/>
      </c>
      <c r="J9" s="4">
        <f>J$4*0.5</f>
        <v/>
      </c>
      <c r="K9" s="4">
        <f>K$4*0.5</f>
        <v/>
      </c>
      <c r="L9" s="4">
        <f>L$4*0.5</f>
        <v/>
      </c>
      <c r="M9" s="4">
        <f>M$4*0.5</f>
        <v/>
      </c>
      <c r="N9" s="4">
        <f>N$4*0.5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Marshall Rust</dc:creator>
  <dcterms:created xsi:type="dcterms:W3CDTF">2025-12-07T04:41:32Z</dcterms:created>
  <dcterms:modified xsi:type="dcterms:W3CDTF">2025-12-07T05:23:50Z</dcterms:modified>
  <cp:lastModifiedBy>Marshall Rust</cp:lastModifiedBy>
</cp:coreProperties>
</file>